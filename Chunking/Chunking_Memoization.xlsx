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\r\AIDemos\Chunking\"/>
    </mc:Choice>
  </mc:AlternateContent>
  <xr:revisionPtr revIDLastSave="0" documentId="8_{9042B63E-11C9-45B2-9EB5-7E86F85EA8E7}" xr6:coauthVersionLast="47" xr6:coauthVersionMax="47" xr10:uidLastSave="{00000000-0000-0000-0000-000000000000}"/>
  <bookViews>
    <workbookView xWindow="-14115" yWindow="-16320" windowWidth="29040" windowHeight="15720" xr2:uid="{213F0EFF-851E-41D5-A862-07F2B0598D0B}"/>
  </bookViews>
  <sheets>
    <sheet name="Similarity" sheetId="1" r:id="rId1"/>
    <sheet name="Chunk Scores" sheetId="8" r:id="rId2"/>
    <sheet name="Grid" sheetId="7" r:id="rId3"/>
    <sheet name="Completed Grid" sheetId="6" r:id="rId4"/>
  </sheets>
  <calcPr calcId="0"/>
</workbook>
</file>

<file path=xl/calcChain.xml><?xml version="1.0" encoding="utf-8"?>
<calcChain xmlns="http://schemas.openxmlformats.org/spreadsheetml/2006/main">
  <c r="F5" i="8" l="1"/>
  <c r="F4" i="8"/>
  <c r="D6" i="6" s="1"/>
  <c r="E4" i="8"/>
  <c r="F3" i="8"/>
  <c r="E6" i="6" s="1"/>
  <c r="E3" i="8"/>
  <c r="D3" i="8"/>
  <c r="F2" i="8"/>
  <c r="F6" i="6" s="1"/>
  <c r="E2" i="8"/>
  <c r="D2" i="8"/>
  <c r="C2" i="8"/>
  <c r="F7" i="7"/>
  <c r="E7" i="7"/>
  <c r="D7" i="7"/>
  <c r="C7" i="7"/>
  <c r="B7" i="7"/>
  <c r="B7" i="6"/>
  <c r="C5" i="6" s="1"/>
  <c r="C6" i="6" l="1"/>
  <c r="C7" i="6" s="1"/>
  <c r="E5" i="6"/>
  <c r="D5" i="6"/>
  <c r="F5" i="6"/>
  <c r="D4" i="6" l="1"/>
  <c r="D7" i="6" s="1"/>
  <c r="F4" i="6"/>
  <c r="E4" i="6"/>
  <c r="F3" i="6" l="1"/>
  <c r="E3" i="6"/>
  <c r="E7" i="6" s="1"/>
  <c r="F2" i="6" s="1"/>
  <c r="F7" i="6" s="1"/>
</calcChain>
</file>

<file path=xl/sharedStrings.xml><?xml version="1.0" encoding="utf-8"?>
<sst xmlns="http://schemas.openxmlformats.org/spreadsheetml/2006/main" count="98" uniqueCount="36">
  <si>
    <t>-</t>
  </si>
  <si>
    <t>S5</t>
  </si>
  <si>
    <t>S4</t>
  </si>
  <si>
    <t>S3</t>
  </si>
  <si>
    <t>S2</t>
  </si>
  <si>
    <t>S1</t>
  </si>
  <si>
    <t>5</t>
  </si>
  <si>
    <t>4</t>
  </si>
  <si>
    <t>3</t>
  </si>
  <si>
    <t>2</t>
  </si>
  <si>
    <t>1</t>
  </si>
  <si>
    <t>Top Row (I):</t>
  </si>
  <si>
    <t xml:space="preserve">Left Column (J): </t>
  </si>
  <si>
    <t>The sentences included in the chunk</t>
  </si>
  <si>
    <t>Objective:</t>
  </si>
  <si>
    <t>Maximize Total Score</t>
  </si>
  <si>
    <t>The sentence the chunk starts with</t>
  </si>
  <si>
    <t>Scores</t>
  </si>
  <si>
    <t>J \ I</t>
  </si>
  <si>
    <t>Exercise:</t>
  </si>
  <si>
    <t>Fill-in the yellow fields with the Memoization values</t>
  </si>
  <si>
    <t>Formula:</t>
  </si>
  <si>
    <t>Avg(Similarity(i..j)) - (0.1 * (chunksize - 1))</t>
  </si>
  <si>
    <t>Size Penalty:</t>
  </si>
  <si>
    <t>Score:</t>
  </si>
  <si>
    <t>CosineDistance(Sentence A, Sentence B)</t>
  </si>
  <si>
    <t>Cell Strategy:</t>
  </si>
  <si>
    <t>Max of the value for that sentence + the best downstream</t>
  </si>
  <si>
    <t>Meaning:</t>
  </si>
  <si>
    <t>Semantic distance between 2 sentences</t>
  </si>
  <si>
    <t>Best Val</t>
  </si>
  <si>
    <t>Best End</t>
  </si>
  <si>
    <t>Best End:</t>
  </si>
  <si>
    <t>The ending sentence in the best chunk for that starting point</t>
  </si>
  <si>
    <t>Best Val:</t>
  </si>
  <si>
    <t>Max score achievable from that point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</si>
</sst>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3" fillId="7" borderId="7" xfId="13" applyAlignment="1">
      <alignment horizontal="center"/>
    </xf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170" fontId="0" fillId="0" borderId="0" xfId="0" applyNumberFormat="1" applyAlignment="1">
      <alignment horizontal="center"/>
    </xf>
    <xf numFmtId="170" fontId="0" fillId="0" borderId="0" xfId="0" quotePrefix="1" applyNumberFormat="1" applyAlignment="1">
      <alignment horizontal="center"/>
    </xf>
    <xf numFmtId="0" fontId="8" fillId="4" borderId="7" xfId="8" applyBorder="1" applyAlignment="1">
      <alignment horizontal="center"/>
    </xf>
    <xf numFmtId="170" fontId="8" fillId="4" borderId="0" xfId="8" applyNumberFormat="1" applyAlignment="1">
      <alignment horizontal="center"/>
    </xf>
    <xf numFmtId="170" fontId="13" fillId="7" borderId="7" xfId="13" applyNumberFormat="1" applyAlignment="1">
      <alignment horizontal="center"/>
    </xf>
    <xf numFmtId="1" fontId="8" fillId="4" borderId="7" xfId="8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C5BF13-5ACC-46FE-8532-BE55DE875D88}" name="Table3" displayName="Table3" ref="A1:F6" totalsRowShown="0" headerRowDxfId="21" dataDxfId="20">
  <autoFilter ref="A1:F6" xr:uid="{81C5BF13-5ACC-46FE-8532-BE55DE875D88}"/>
  <tableColumns count="6">
    <tableColumn id="1" xr3:uid="{95555278-284F-42A4-B9C1-963347EE0811}" name="Scores" dataDxfId="19"/>
    <tableColumn id="2" xr3:uid="{57B1B16B-8359-4EEC-91C1-CA8B05AAC009}" name="S1" dataDxfId="18"/>
    <tableColumn id="3" xr3:uid="{16DC9ACF-D3EF-4897-933E-865919B746A7}" name="S2" dataDxfId="17"/>
    <tableColumn id="4" xr3:uid="{AB752D1E-1131-4AD9-92B1-78FBAC16DAD0}" name="S3" dataDxfId="16"/>
    <tableColumn id="5" xr3:uid="{CA0CCBC1-D971-457F-9F23-519A1F2DF7E0}" name="S4" dataDxfId="15"/>
    <tableColumn id="6" xr3:uid="{A6F3CAD2-D30B-4D36-9353-677E64FAF9EE}" name="S5" dataDxfId="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E94512-F5CD-43C5-8846-B6B909964063}" name="Table36" displayName="Table36" ref="A1:F6" totalsRowShown="0" headerRowDxfId="12" dataDxfId="11">
  <autoFilter ref="A1:F6" xr:uid="{81C5BF13-5ACC-46FE-8532-BE55DE875D88}"/>
  <tableColumns count="6">
    <tableColumn id="1" xr3:uid="{6F0FF404-FD04-4A3B-998F-1C39239AA0F1}" name="Scores" dataDxfId="10"/>
    <tableColumn id="2" xr3:uid="{72E7EC8B-F453-4FE3-B5CF-D7A8DF1B9329}" name="S1" dataDxfId="9"/>
    <tableColumn id="3" xr3:uid="{A2F0C9B7-697A-4574-9F5C-E3A075131E48}" name="S2" dataDxfId="8"/>
    <tableColumn id="4" xr3:uid="{B5A12780-E0E7-4E63-B286-8635DE792743}" name="S3" dataDxfId="7"/>
    <tableColumn id="5" xr3:uid="{C2B1119A-161E-4A4D-831E-25D8B324AC77}" name="S4" dataDxfId="6"/>
    <tableColumn id="6" xr3:uid="{49D272EC-4656-403E-9E15-0D8C5B057FCC}" name="S5" dataDxfId="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DD94C1-1195-4484-8AD0-64EDF854CA80}" name="Table25" displayName="Table25" ref="A1:F8" totalsRowShown="0">
  <autoFilter ref="A1:F8" xr:uid="{5CF6AAF3-2AE4-4417-B5FD-6CF3A89FECE6}"/>
  <tableColumns count="6">
    <tableColumn id="1" xr3:uid="{BFD80889-2526-4DCB-90B6-4F55F9B35356}" name="J \ I" dataDxfId="13"/>
    <tableColumn id="2" xr3:uid="{11ACEE78-8A82-46F6-A296-531A2C348818}" name="5" dataDxfId="4"/>
    <tableColumn id="3" xr3:uid="{2D4968C2-3DEF-4BDB-BA43-42AB65A012CC}" name="4" dataDxfId="3"/>
    <tableColumn id="4" xr3:uid="{BCC14022-2818-4389-A1B9-F49D409D18B3}" name="3" dataDxfId="2"/>
    <tableColumn id="5" xr3:uid="{6A0993D1-BA65-4EF9-8863-74A2E17ED9C5}" name="2" dataDxfId="1"/>
    <tableColumn id="6" xr3:uid="{BA509803-7502-4FB9-A2D5-340009D01CEF}" name="1" dataDxfId="0" dataCellStyle="Neutral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6AAF3-2AE4-4417-B5FD-6CF3A89FECE6}" name="Table2" displayName="Table2" ref="A1:F8" totalsRowShown="0">
  <autoFilter ref="A1:F8" xr:uid="{5CF6AAF3-2AE4-4417-B5FD-6CF3A89FECE6}"/>
  <tableColumns count="6">
    <tableColumn id="1" xr3:uid="{CB991864-7654-40F1-820A-8AB51FF8C452}" name="J \ I" dataDxfId="22"/>
    <tableColumn id="2" xr3:uid="{24E87509-4089-4329-8A98-4D29A681ABB4}" name="5" dataDxfId="23"/>
    <tableColumn id="3" xr3:uid="{42396E85-BCEE-40D2-803E-C022A39DE8E1}" name="4" dataDxfId="27"/>
    <tableColumn id="4" xr3:uid="{E584055C-2C2B-4544-9DB8-AE6D4A01807E}" name="3" dataDxfId="26"/>
    <tableColumn id="5" xr3:uid="{1CAA07B5-0C74-4F19-B3AF-45361E097F33}" name="2" dataDxfId="25"/>
    <tableColumn id="6" xr3:uid="{2747CAFF-ADA7-4A05-835D-06BDF93A6496}" name="1" dataDxfId="24" dataCellStyle="Neutr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BD3F-D9C6-42C3-856A-851B8C938D2A}">
  <dimension ref="A1:F9"/>
  <sheetViews>
    <sheetView tabSelected="1" zoomScale="205" zoomScaleNormal="205" workbookViewId="0">
      <selection activeCell="A7" sqref="A7"/>
    </sheetView>
  </sheetViews>
  <sheetFormatPr defaultRowHeight="14.6" x14ac:dyDescent="0.4"/>
  <cols>
    <col min="1" max="1" width="11" style="1" bestFit="1" customWidth="1"/>
    <col min="2" max="6" width="7.3828125" style="1" bestFit="1" customWidth="1"/>
  </cols>
  <sheetData>
    <row r="1" spans="1:6" x14ac:dyDescent="0.4">
      <c r="A1" s="1" t="s">
        <v>17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4">
      <c r="A2" s="1" t="s">
        <v>5</v>
      </c>
      <c r="B2" s="7" t="s">
        <v>0</v>
      </c>
      <c r="C2" s="6">
        <v>0.53480000000000005</v>
      </c>
      <c r="D2" s="6">
        <v>0.39400000000000002</v>
      </c>
      <c r="E2" s="6">
        <v>0.3916</v>
      </c>
      <c r="F2" s="6">
        <v>0.3574</v>
      </c>
    </row>
    <row r="3" spans="1:6" x14ac:dyDescent="0.4">
      <c r="A3" s="1" t="s">
        <v>4</v>
      </c>
      <c r="B3" s="7" t="s">
        <v>0</v>
      </c>
      <c r="C3" s="7" t="s">
        <v>0</v>
      </c>
      <c r="D3" s="6">
        <v>0.36030000000000001</v>
      </c>
      <c r="E3" s="6">
        <v>0.4274</v>
      </c>
      <c r="F3" s="6">
        <v>0.4118</v>
      </c>
    </row>
    <row r="4" spans="1:6" x14ac:dyDescent="0.4">
      <c r="A4" s="1" t="s">
        <v>3</v>
      </c>
      <c r="B4" s="7" t="s">
        <v>0</v>
      </c>
      <c r="C4" s="7" t="s">
        <v>0</v>
      </c>
      <c r="D4" s="7" t="s">
        <v>0</v>
      </c>
      <c r="E4" s="6">
        <v>0.33279999999999998</v>
      </c>
      <c r="F4" s="6">
        <v>0.29049999999999998</v>
      </c>
    </row>
    <row r="5" spans="1:6" x14ac:dyDescent="0.4">
      <c r="A5" s="1" t="s">
        <v>2</v>
      </c>
      <c r="B5" s="7" t="s">
        <v>0</v>
      </c>
      <c r="C5" s="7" t="s">
        <v>0</v>
      </c>
      <c r="D5" s="7" t="s">
        <v>0</v>
      </c>
      <c r="E5" s="7" t="s">
        <v>0</v>
      </c>
      <c r="F5" s="6">
        <v>0.40260000000000001</v>
      </c>
    </row>
    <row r="6" spans="1:6" x14ac:dyDescent="0.4">
      <c r="A6" s="1" t="s">
        <v>1</v>
      </c>
      <c r="B6" s="7" t="s">
        <v>0</v>
      </c>
      <c r="C6" s="7" t="s">
        <v>0</v>
      </c>
      <c r="D6" s="7" t="s">
        <v>0</v>
      </c>
      <c r="E6" s="7" t="s">
        <v>0</v>
      </c>
      <c r="F6" s="7" t="s">
        <v>0</v>
      </c>
    </row>
    <row r="8" spans="1:6" x14ac:dyDescent="0.4">
      <c r="A8" s="1" t="s">
        <v>24</v>
      </c>
      <c r="B8" s="4" t="s">
        <v>25</v>
      </c>
      <c r="C8" s="4"/>
      <c r="D8" s="4"/>
      <c r="E8" s="4"/>
      <c r="F8" s="4"/>
    </row>
    <row r="9" spans="1:6" x14ac:dyDescent="0.4">
      <c r="A9" s="1" t="s">
        <v>28</v>
      </c>
      <c r="B9" s="4" t="s">
        <v>29</v>
      </c>
      <c r="C9" s="4"/>
      <c r="D9" s="4"/>
      <c r="E9" s="4"/>
      <c r="F9" s="4"/>
    </row>
  </sheetData>
  <mergeCells count="2">
    <mergeCell ref="B8:F8"/>
    <mergeCell ref="B9:F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F71B-DA6B-4035-96FD-F24922481B33}">
  <dimension ref="A1:F9"/>
  <sheetViews>
    <sheetView zoomScale="205" zoomScaleNormal="205" workbookViewId="0">
      <selection activeCell="A7" sqref="A7"/>
    </sheetView>
  </sheetViews>
  <sheetFormatPr defaultRowHeight="14.6" x14ac:dyDescent="0.4"/>
  <cols>
    <col min="1" max="1" width="11" style="1" bestFit="1" customWidth="1"/>
    <col min="2" max="6" width="7.3828125" style="1" bestFit="1" customWidth="1"/>
  </cols>
  <sheetData>
    <row r="1" spans="1:6" x14ac:dyDescent="0.4">
      <c r="A1" s="1" t="s">
        <v>17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4">
      <c r="A2" s="1" t="s">
        <v>5</v>
      </c>
      <c r="B2" s="7">
        <v>0</v>
      </c>
      <c r="C2" s="6">
        <f>AVERAGE(Similarity!B2:C3)-(1*$B$8)</f>
        <v>0.43480000000000008</v>
      </c>
      <c r="D2" s="6">
        <f>AVERAGE(Similarity!B2:D4)-(2*$B$8)</f>
        <v>0.22970000000000002</v>
      </c>
      <c r="E2" s="6">
        <f>AVERAGE(Similarity!B2:E5)-(3*$B$8)</f>
        <v>0.10681666666666662</v>
      </c>
      <c r="F2" s="6">
        <f>AVERAGE(Similarity!B2:F5)-(4*$B$8)</f>
        <v>-9.6800000000000774E-3</v>
      </c>
    </row>
    <row r="3" spans="1:6" x14ac:dyDescent="0.4">
      <c r="A3" s="1" t="s">
        <v>4</v>
      </c>
      <c r="B3" s="7" t="s">
        <v>0</v>
      </c>
      <c r="C3" s="6">
        <v>0</v>
      </c>
      <c r="D3" s="6">
        <f>AVERAGE(Similarity!C3:D3)-(1*$B$8)</f>
        <v>0.26029999999999998</v>
      </c>
      <c r="E3" s="6">
        <f>AVERAGE(Similarity!C3:E4)-(2*$B$8)</f>
        <v>0.17349999999999999</v>
      </c>
      <c r="F3" s="6">
        <f>AVERAGE(Similarity!C3:F5)-(3*$B$8)</f>
        <v>7.0899999999999963E-2</v>
      </c>
    </row>
    <row r="4" spans="1:6" x14ac:dyDescent="0.4">
      <c r="A4" s="1" t="s">
        <v>3</v>
      </c>
      <c r="B4" s="7" t="s">
        <v>0</v>
      </c>
      <c r="C4" s="7" t="s">
        <v>0</v>
      </c>
      <c r="D4" s="6">
        <v>0</v>
      </c>
      <c r="E4" s="6">
        <f>AVERAGE(Similarity!D4:E4)-(1*$B$8)</f>
        <v>0.23279999999999998</v>
      </c>
      <c r="F4" s="6">
        <f>AVERAGE(Similarity!D4:F5)-(2*$B$8)</f>
        <v>0.14196666666666669</v>
      </c>
    </row>
    <row r="5" spans="1:6" x14ac:dyDescent="0.4">
      <c r="A5" s="1" t="s">
        <v>2</v>
      </c>
      <c r="B5" s="7" t="s">
        <v>0</v>
      </c>
      <c r="C5" s="7" t="s">
        <v>0</v>
      </c>
      <c r="D5" s="7" t="s">
        <v>0</v>
      </c>
      <c r="E5" s="6">
        <v>0</v>
      </c>
      <c r="F5" s="6">
        <f>AVERAGE(Similarity!E5:F5)-(1*$B$8)</f>
        <v>0.30259999999999998</v>
      </c>
    </row>
    <row r="6" spans="1:6" x14ac:dyDescent="0.4">
      <c r="A6" s="1" t="s">
        <v>1</v>
      </c>
      <c r="B6" s="7" t="s">
        <v>0</v>
      </c>
      <c r="C6" s="7" t="s">
        <v>0</v>
      </c>
      <c r="D6" s="7" t="s">
        <v>0</v>
      </c>
      <c r="E6" s="7" t="s">
        <v>0</v>
      </c>
      <c r="F6" s="6">
        <v>0</v>
      </c>
    </row>
    <row r="8" spans="1:6" x14ac:dyDescent="0.4">
      <c r="A8" s="1" t="s">
        <v>23</v>
      </c>
      <c r="B8" s="4">
        <v>0.1</v>
      </c>
      <c r="C8" s="4"/>
      <c r="D8" s="4"/>
      <c r="E8" s="4"/>
      <c r="F8" s="4"/>
    </row>
    <row r="9" spans="1:6" x14ac:dyDescent="0.4">
      <c r="A9" s="1" t="s">
        <v>21</v>
      </c>
      <c r="B9" s="4" t="s">
        <v>22</v>
      </c>
      <c r="C9" s="4"/>
      <c r="D9" s="4"/>
      <c r="E9" s="4"/>
      <c r="F9" s="4"/>
    </row>
  </sheetData>
  <mergeCells count="2">
    <mergeCell ref="B9:F9"/>
    <mergeCell ref="B8:F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F5B1-6738-44F3-A19D-5D501DC0CB6A}">
  <dimension ref="A1:F16"/>
  <sheetViews>
    <sheetView zoomScale="220" zoomScaleNormal="220" workbookViewId="0">
      <selection activeCell="A9" sqref="A9"/>
    </sheetView>
  </sheetViews>
  <sheetFormatPr defaultRowHeight="14.6" x14ac:dyDescent="0.4"/>
  <cols>
    <col min="1" max="1" width="13.765625" bestFit="1" customWidth="1"/>
    <col min="5" max="6" width="9.23046875" customWidth="1"/>
    <col min="8" max="8" width="10.4609375" bestFit="1" customWidth="1"/>
  </cols>
  <sheetData>
    <row r="1" spans="1:6" x14ac:dyDescent="0.4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4">
      <c r="A2" s="3">
        <v>1</v>
      </c>
      <c r="B2" s="6">
        <v>0</v>
      </c>
      <c r="C2" s="6">
        <v>0</v>
      </c>
      <c r="D2" s="6">
        <v>0</v>
      </c>
      <c r="E2" s="6">
        <v>0</v>
      </c>
      <c r="F2" s="9"/>
    </row>
    <row r="3" spans="1:6" x14ac:dyDescent="0.4">
      <c r="A3" s="3">
        <v>2</v>
      </c>
      <c r="B3" s="6">
        <v>0</v>
      </c>
      <c r="C3" s="6">
        <v>0</v>
      </c>
      <c r="D3" s="6">
        <v>0</v>
      </c>
      <c r="E3" s="9"/>
      <c r="F3" s="9"/>
    </row>
    <row r="4" spans="1:6" x14ac:dyDescent="0.4">
      <c r="A4" s="3">
        <v>3</v>
      </c>
      <c r="B4" s="6">
        <v>0</v>
      </c>
      <c r="C4" s="6">
        <v>0</v>
      </c>
      <c r="D4" s="9"/>
      <c r="E4" s="9"/>
      <c r="F4" s="9"/>
    </row>
    <row r="5" spans="1:6" x14ac:dyDescent="0.4">
      <c r="A5" s="3">
        <v>4</v>
      </c>
      <c r="B5" s="6">
        <v>0</v>
      </c>
      <c r="C5" s="9"/>
      <c r="D5" s="9"/>
      <c r="E5" s="9"/>
      <c r="F5" s="9"/>
    </row>
    <row r="6" spans="1:6" ht="15" thickBot="1" x14ac:dyDescent="0.45">
      <c r="A6" s="3">
        <v>5</v>
      </c>
      <c r="B6" s="9"/>
      <c r="C6" s="9"/>
      <c r="D6" s="9"/>
      <c r="E6" s="9"/>
      <c r="F6" s="9"/>
    </row>
    <row r="7" spans="1:6" ht="15.45" thickTop="1" thickBot="1" x14ac:dyDescent="0.45">
      <c r="A7" s="3" t="s">
        <v>30</v>
      </c>
      <c r="B7" s="10">
        <f>MAX(B2:B6)</f>
        <v>0</v>
      </c>
      <c r="C7" s="10">
        <f t="shared" ref="C7:F7" si="0">MAX(C2:C6)</f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</row>
    <row r="8" spans="1:6" ht="15.45" thickTop="1" thickBot="1" x14ac:dyDescent="0.45">
      <c r="A8" s="3" t="s">
        <v>31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</row>
    <row r="9" spans="1:6" ht="15" thickTop="1" x14ac:dyDescent="0.4"/>
    <row r="10" spans="1:6" x14ac:dyDescent="0.4">
      <c r="A10" t="s">
        <v>19</v>
      </c>
      <c r="B10" s="5" t="s">
        <v>20</v>
      </c>
      <c r="C10" s="5"/>
      <c r="D10" s="5"/>
      <c r="E10" s="5"/>
      <c r="F10" s="5"/>
    </row>
    <row r="11" spans="1:6" x14ac:dyDescent="0.4">
      <c r="A11" t="s">
        <v>11</v>
      </c>
      <c r="B11" s="4" t="s">
        <v>16</v>
      </c>
      <c r="C11" s="4"/>
      <c r="D11" s="4"/>
      <c r="E11" s="4"/>
      <c r="F11" s="4"/>
    </row>
    <row r="12" spans="1:6" x14ac:dyDescent="0.4">
      <c r="A12" t="s">
        <v>12</v>
      </c>
      <c r="B12" s="5" t="s">
        <v>13</v>
      </c>
      <c r="C12" s="5"/>
      <c r="D12" s="5"/>
      <c r="E12" s="5"/>
      <c r="F12" s="5"/>
    </row>
    <row r="13" spans="1:6" x14ac:dyDescent="0.4">
      <c r="A13" t="s">
        <v>34</v>
      </c>
      <c r="B13" s="5" t="s">
        <v>35</v>
      </c>
      <c r="C13" s="5"/>
      <c r="D13" s="5"/>
      <c r="E13" s="5"/>
      <c r="F13" s="5"/>
    </row>
    <row r="14" spans="1:6" x14ac:dyDescent="0.4">
      <c r="A14" t="s">
        <v>32</v>
      </c>
      <c r="B14" t="s">
        <v>33</v>
      </c>
    </row>
    <row r="15" spans="1:6" x14ac:dyDescent="0.4">
      <c r="A15" t="s">
        <v>26</v>
      </c>
      <c r="B15" s="5" t="s">
        <v>27</v>
      </c>
      <c r="C15" s="5"/>
      <c r="D15" s="5"/>
      <c r="E15" s="5"/>
      <c r="F15" s="5"/>
    </row>
    <row r="16" spans="1:6" x14ac:dyDescent="0.4">
      <c r="A16" t="s">
        <v>14</v>
      </c>
      <c r="B16" s="5" t="s">
        <v>15</v>
      </c>
      <c r="C16" s="5"/>
      <c r="D16" s="5"/>
      <c r="E16" s="5"/>
      <c r="F16" s="5"/>
    </row>
  </sheetData>
  <mergeCells count="6">
    <mergeCell ref="B11:F11"/>
    <mergeCell ref="B12:F12"/>
    <mergeCell ref="B15:F15"/>
    <mergeCell ref="B10:F10"/>
    <mergeCell ref="B16:F16"/>
    <mergeCell ref="B13:F1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87B3-1BE7-42E2-B4D9-7159B9DCD7F3}">
  <dimension ref="A1:F16"/>
  <sheetViews>
    <sheetView zoomScale="220" zoomScaleNormal="220" workbookViewId="0">
      <selection activeCell="A9" sqref="A9"/>
    </sheetView>
  </sheetViews>
  <sheetFormatPr defaultRowHeight="14.6" x14ac:dyDescent="0.4"/>
  <cols>
    <col min="1" max="1" width="13.765625" bestFit="1" customWidth="1"/>
    <col min="8" max="8" width="10.4609375" bestFit="1" customWidth="1"/>
  </cols>
  <sheetData>
    <row r="1" spans="1:6" x14ac:dyDescent="0.4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4">
      <c r="A2" s="3">
        <v>1</v>
      </c>
      <c r="B2" s="6">
        <v>0</v>
      </c>
      <c r="C2" s="6">
        <v>0</v>
      </c>
      <c r="D2" s="6">
        <v>0</v>
      </c>
      <c r="E2" s="6">
        <v>0</v>
      </c>
      <c r="F2" s="9">
        <f>0+E7</f>
        <v>0.56289999999999996</v>
      </c>
    </row>
    <row r="3" spans="1:6" x14ac:dyDescent="0.4">
      <c r="A3" s="3">
        <v>2</v>
      </c>
      <c r="B3" s="6">
        <v>0</v>
      </c>
      <c r="C3" s="6">
        <v>0</v>
      </c>
      <c r="D3" s="6">
        <v>0</v>
      </c>
      <c r="E3" s="9">
        <f>0+D7</f>
        <v>0.30259999999999998</v>
      </c>
      <c r="F3" s="9">
        <f>'Chunk Scores'!C2+D7</f>
        <v>0.73740000000000006</v>
      </c>
    </row>
    <row r="4" spans="1:6" x14ac:dyDescent="0.4">
      <c r="A4" s="3">
        <v>3</v>
      </c>
      <c r="B4" s="6">
        <v>0</v>
      </c>
      <c r="C4" s="6">
        <v>0</v>
      </c>
      <c r="D4" s="9">
        <f>0+C7</f>
        <v>0.30259999999999998</v>
      </c>
      <c r="E4" s="9">
        <f>'Chunk Scores'!D3+C7</f>
        <v>0.56289999999999996</v>
      </c>
      <c r="F4" s="9">
        <f>'Chunk Scores'!D2+C7</f>
        <v>0.5323</v>
      </c>
    </row>
    <row r="5" spans="1:6" x14ac:dyDescent="0.4">
      <c r="A5" s="3">
        <v>4</v>
      </c>
      <c r="B5" s="6">
        <v>0</v>
      </c>
      <c r="C5" s="9">
        <f>0+B7</f>
        <v>0</v>
      </c>
      <c r="D5" s="9">
        <f>'Chunk Scores'!E4+B7</f>
        <v>0.23279999999999998</v>
      </c>
      <c r="E5" s="9">
        <f>'Chunk Scores'!E3+B7</f>
        <v>0.17349999999999999</v>
      </c>
      <c r="F5" s="9">
        <f>'Chunk Scores'!E2+B7</f>
        <v>0.10681666666666662</v>
      </c>
    </row>
    <row r="6" spans="1:6" ht="15" thickBot="1" x14ac:dyDescent="0.45">
      <c r="A6" s="3">
        <v>5</v>
      </c>
      <c r="B6" s="9">
        <v>0</v>
      </c>
      <c r="C6" s="9">
        <f>B7+'Chunk Scores'!F5</f>
        <v>0.30259999999999998</v>
      </c>
      <c r="D6" s="9">
        <f>'Chunk Scores'!F4</f>
        <v>0.14196666666666669</v>
      </c>
      <c r="E6" s="9">
        <f>'Chunk Scores'!F3</f>
        <v>7.0899999999999963E-2</v>
      </c>
      <c r="F6" s="9">
        <f>'Chunk Scores'!F2</f>
        <v>-9.6800000000000774E-3</v>
      </c>
    </row>
    <row r="7" spans="1:6" ht="15.45" thickTop="1" thickBot="1" x14ac:dyDescent="0.45">
      <c r="A7" s="3" t="s">
        <v>30</v>
      </c>
      <c r="B7" s="2">
        <f>MAX(B2:B6)</f>
        <v>0</v>
      </c>
      <c r="C7" s="2">
        <f t="shared" ref="C7:F7" si="0">MAX(C2:C6)</f>
        <v>0.30259999999999998</v>
      </c>
      <c r="D7" s="2">
        <f t="shared" si="0"/>
        <v>0.30259999999999998</v>
      </c>
      <c r="E7" s="2">
        <f t="shared" si="0"/>
        <v>0.56289999999999996</v>
      </c>
      <c r="F7" s="2">
        <f t="shared" si="0"/>
        <v>0.73740000000000006</v>
      </c>
    </row>
    <row r="8" spans="1:6" ht="15.45" thickTop="1" thickBot="1" x14ac:dyDescent="0.45">
      <c r="A8" s="3" t="s">
        <v>31</v>
      </c>
      <c r="B8" s="8">
        <v>5</v>
      </c>
      <c r="C8" s="8">
        <v>5</v>
      </c>
      <c r="D8" s="8">
        <v>3</v>
      </c>
      <c r="E8" s="8">
        <v>3</v>
      </c>
      <c r="F8" s="8">
        <v>2</v>
      </c>
    </row>
    <row r="9" spans="1:6" ht="15" thickTop="1" x14ac:dyDescent="0.4"/>
    <row r="10" spans="1:6" x14ac:dyDescent="0.4">
      <c r="A10" t="s">
        <v>19</v>
      </c>
      <c r="B10" s="5" t="s">
        <v>20</v>
      </c>
      <c r="C10" s="5"/>
      <c r="D10" s="5"/>
      <c r="E10" s="5"/>
      <c r="F10" s="5"/>
    </row>
    <row r="11" spans="1:6" x14ac:dyDescent="0.4">
      <c r="A11" t="s">
        <v>11</v>
      </c>
      <c r="B11" s="4" t="s">
        <v>16</v>
      </c>
      <c r="C11" s="4"/>
      <c r="D11" s="4"/>
      <c r="E11" s="4"/>
      <c r="F11" s="4"/>
    </row>
    <row r="12" spans="1:6" x14ac:dyDescent="0.4">
      <c r="A12" t="s">
        <v>12</v>
      </c>
      <c r="B12" s="5" t="s">
        <v>13</v>
      </c>
      <c r="C12" s="5"/>
      <c r="D12" s="5"/>
      <c r="E12" s="5"/>
      <c r="F12" s="5"/>
    </row>
    <row r="13" spans="1:6" x14ac:dyDescent="0.4">
      <c r="A13" t="s">
        <v>34</v>
      </c>
      <c r="B13" s="5" t="s">
        <v>35</v>
      </c>
      <c r="C13" s="5"/>
      <c r="D13" s="5"/>
      <c r="E13" s="5"/>
      <c r="F13" s="5"/>
    </row>
    <row r="14" spans="1:6" x14ac:dyDescent="0.4">
      <c r="A14" t="s">
        <v>32</v>
      </c>
      <c r="B14" t="s">
        <v>33</v>
      </c>
    </row>
    <row r="15" spans="1:6" x14ac:dyDescent="0.4">
      <c r="A15" t="s">
        <v>26</v>
      </c>
      <c r="B15" s="5" t="s">
        <v>27</v>
      </c>
      <c r="C15" s="5"/>
      <c r="D15" s="5"/>
      <c r="E15" s="5"/>
      <c r="F15" s="5"/>
    </row>
    <row r="16" spans="1:6" x14ac:dyDescent="0.4">
      <c r="A16" t="s">
        <v>14</v>
      </c>
      <c r="B16" s="5" t="s">
        <v>15</v>
      </c>
      <c r="C16" s="5"/>
      <c r="D16" s="5"/>
      <c r="E16" s="5"/>
      <c r="F16" s="5"/>
    </row>
  </sheetData>
  <mergeCells count="6">
    <mergeCell ref="B11:F11"/>
    <mergeCell ref="B12:F12"/>
    <mergeCell ref="B16:F16"/>
    <mergeCell ref="B10:F10"/>
    <mergeCell ref="B15:F15"/>
    <mergeCell ref="B13:F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Similarity</vt:lpstr>
      <vt:lpstr>Chunk Scores</vt:lpstr>
      <vt:lpstr>Grid</vt:lpstr>
      <vt:lpstr>Completed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Stahl</dc:creator>
  <cp:lastModifiedBy>Barry Stahl</cp:lastModifiedBy>
  <dcterms:created xsi:type="dcterms:W3CDTF">2026-07-16T21:45:40Z</dcterms:created>
  <dcterms:modified xsi:type="dcterms:W3CDTF">2026-07-16T21:45:41Z</dcterms:modified>
</cp:coreProperties>
</file>